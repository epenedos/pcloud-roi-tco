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OI Summary" sheetId="2" state="visible" r:id="rId4"/>
    <sheet name="Inputs &amp; Assumptions" sheetId="3" state="visible" r:id="rId5"/>
    <sheet name="On-Prem TCO" sheetId="4" state="visible" r:id="rId6"/>
    <sheet name="SaaS TC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<sst xmlns="http://schemas.openxmlformats.org/spreadsheetml/2006/main" count="189" uniqueCount="163">
  <si>
    <t xml:space="preserve">CyberArk PAM  –  On-Prem to Modern PAM (SaaS) Migration</t>
  </si>
  <si>
    <t xml:space="preserve">Total Cost of Ownership (TCO) &amp; ROI Model  ·  3-Year Horizon  ·  EUR</t>
  </si>
  <si>
    <t xml:space="preserve">Purpose</t>
  </si>
  <si>
    <t xml:space="preserve">Compares the fully-loaded 3-year cost of keeping CyberArk PAM self-hosted (on-premises) against migrating to CyberArk's SaaS offering (Privilege Cloud / Modern PAM). Produces net savings, ROI% and payback period to support the migration business case.</t>
  </si>
  <si>
    <t xml:space="preserve">How to use</t>
  </si>
  <si>
    <t xml:space="preserve">Go to the 'Inputs &amp; Assumptions' tab and edit the coloured cells. Everything else calculates automatically. The two most important numbers are your actual annual on-prem renewal cost and the annual SaaS subscription quote – replace the example values in the yellow cells first.</t>
  </si>
  <si>
    <t xml:space="preserve">Cell colour legend</t>
  </si>
  <si>
    <t xml:space="preserve">Yellow fill</t>
  </si>
  <si>
    <t xml:space="preserve">Key figures you MUST provide (renewal cost, SaaS quote, component counts).</t>
  </si>
  <si>
    <t xml:space="preserve">Blue text</t>
  </si>
  <si>
    <t xml:space="preserve">Editable inputs / assumptions pre-filled with industry defaults – override as needed.</t>
  </si>
  <si>
    <t xml:space="preserve">Black text</t>
  </si>
  <si>
    <t xml:space="preserve">Calculated formulas – do not overwrite.</t>
  </si>
  <si>
    <t xml:space="preserve">Green text</t>
  </si>
  <si>
    <t xml:space="preserve">Value pulled from another sheet.</t>
  </si>
  <si>
    <t xml:space="preserve">Tabs</t>
  </si>
  <si>
    <t xml:space="preserve">Inputs &amp; Assumptions  –  every lever in one place.   On-Prem TCO  –  infrastructure + operations + licence build-up for the self-hosted estate.   SaaS TCO  –  subscription + residual connectors + migration.   ROI Summary  –  side-by-side comparison, savings, payback and charts.</t>
  </si>
  <si>
    <t xml:space="preserve">Scope assumption</t>
  </si>
  <si>
    <t xml:space="preserve">SaaS residual infrastructure is modelled as 'minimal / CyberArk-hosted' – only a pair of lightweight connector VMs remain on-prem. Platform patching, upgrades, HA/DR and backup of the Vault estate move to CyberArk and drop out of the customer's cost base.</t>
  </si>
  <si>
    <t xml:space="preserve">Disclaimer</t>
  </si>
  <si>
    <t xml:space="preserve">Default unit rates (compute, storage, OS, labour, upgrade effort) are illustrative industry benchmarks, not a quote. Replace with the customer's real figures before presenting. Licence/subscription prices are entered by the user and are not sourced from CyberArk price lists.</t>
  </si>
  <si>
    <t xml:space="preserve">ROI &amp; TCO SUMMARY  –  3-Year</t>
  </si>
  <si>
    <t xml:space="preserve">Headline results</t>
  </si>
  <si>
    <t xml:space="preserve">3-Year Net Savings</t>
  </si>
  <si>
    <t xml:space="preserve">3-Year ROI</t>
  </si>
  <si>
    <t xml:space="preserve">Payback Period</t>
  </si>
  <si>
    <t xml:space="preserve">Annual Run-Rate Saving</t>
  </si>
  <si>
    <t xml:space="preserve">3-Year TCO comparison by category</t>
  </si>
  <si>
    <t xml:space="preserve">Cost category</t>
  </si>
  <si>
    <t xml:space="preserve">On-Prem (3yr)</t>
  </si>
  <si>
    <t xml:space="preserve">SaaS (3yr)</t>
  </si>
  <si>
    <t xml:space="preserve">Saving</t>
  </si>
  <si>
    <t xml:space="preserve">Category</t>
  </si>
  <si>
    <t xml:space="preserve">On-Prem</t>
  </si>
  <si>
    <t xml:space="preserve">SaaS</t>
  </si>
  <si>
    <t xml:space="preserve">Licence / Subscription</t>
  </si>
  <si>
    <t xml:space="preserve">Licence/Sub</t>
  </si>
  <si>
    <t xml:space="preserve">Infrastructure</t>
  </si>
  <si>
    <t xml:space="preserve">Operations &amp; labour</t>
  </si>
  <si>
    <t xml:space="preserve">Operations</t>
  </si>
  <si>
    <t xml:space="preserve">Version upgrades</t>
  </si>
  <si>
    <t xml:space="preserve">Upgrades</t>
  </si>
  <si>
    <t xml:space="preserve">One-time migration</t>
  </si>
  <si>
    <t xml:space="preserve">Migration</t>
  </si>
  <si>
    <t xml:space="preserve">TOTAL</t>
  </si>
  <si>
    <t xml:space="preserve">Annual cash flow &amp; cumulative savings</t>
  </si>
  <si>
    <t xml:space="preserve">Year 1</t>
  </si>
  <si>
    <t xml:space="preserve">Year 2</t>
  </si>
  <si>
    <t xml:space="preserve">Year 3</t>
  </si>
  <si>
    <t xml:space="preserve">Year</t>
  </si>
  <si>
    <t xml:space="preserve">On-Prem cum</t>
  </si>
  <si>
    <t xml:space="preserve">SaaS cum</t>
  </si>
  <si>
    <t xml:space="preserve">On-Prem annual cost</t>
  </si>
  <si>
    <t xml:space="preserve">SaaS annual cost (incl. migration Y1)</t>
  </si>
  <si>
    <t xml:space="preserve">Annual saving</t>
  </si>
  <si>
    <t xml:space="preserve">Cumulative saving</t>
  </si>
  <si>
    <t xml:space="preserve">NPV of 3-yr savings (at discount rate)</t>
  </si>
  <si>
    <t xml:space="preserve">INPUTS &amp; ASSUMPTIONS</t>
  </si>
  <si>
    <t xml:space="preserve">A.  Licensing / Subscription  (enter your real figures)</t>
  </si>
  <si>
    <t xml:space="preserve">On-prem annual licence renewal (maintenance)</t>
  </si>
  <si>
    <t xml:space="preserve">← your actual renewal quote</t>
  </si>
  <si>
    <t xml:space="preserve">On-prem renewal annual uplift %</t>
  </si>
  <si>
    <t xml:space="preserve">SaaS annual subscription (Privilege Cloud)</t>
  </si>
  <si>
    <t xml:space="preserve">← your SaaS quote (annual)</t>
  </si>
  <si>
    <t xml:space="preserve">SaaS subscription annual uplift %</t>
  </si>
  <si>
    <t xml:space="preserve">B.  On-Prem Component Inventory &amp; Sizing  (set the quantities)</t>
  </si>
  <si>
    <t xml:space="preserve">Component</t>
  </si>
  <si>
    <t xml:space="preserve">Qty</t>
  </si>
  <si>
    <t xml:space="preserve">vCPU each</t>
  </si>
  <si>
    <t xml:space="preserve">RAM GB each</t>
  </si>
  <si>
    <t xml:space="preserve">Storage GB each</t>
  </si>
  <si>
    <t xml:space="preserve">OS</t>
  </si>
  <si>
    <t xml:space="preserve">Role</t>
  </si>
  <si>
    <t xml:space="preserve">Vault (Primary Cluster)</t>
  </si>
  <si>
    <t xml:space="preserve">Windows</t>
  </si>
  <si>
    <t xml:space="preserve">Digital Vault</t>
  </si>
  <si>
    <t xml:space="preserve">Vault DR</t>
  </si>
  <si>
    <t xml:space="preserve">Disaster Recovery</t>
  </si>
  <si>
    <t xml:space="preserve">CPM</t>
  </si>
  <si>
    <t xml:space="preserve">Central Policy Manager</t>
  </si>
  <si>
    <t xml:space="preserve">PSM</t>
  </si>
  <si>
    <t xml:space="preserve">Privileged Session Mgr</t>
  </si>
  <si>
    <t xml:space="preserve">PSMP</t>
  </si>
  <si>
    <t xml:space="preserve">Linux</t>
  </si>
  <si>
    <t xml:space="preserve">PSM for SSH</t>
  </si>
  <si>
    <t xml:space="preserve">PTA</t>
  </si>
  <si>
    <t xml:space="preserve">Threat Analytics</t>
  </si>
  <si>
    <t xml:space="preserve">C.  Infrastructure Unit Rates  (annual, EUR – industry defaults)</t>
  </si>
  <si>
    <t xml:space="preserve">Compute – per vCPU / year</t>
  </si>
  <si>
    <t xml:space="preserve">virtualised, incl. hypervisor</t>
  </si>
  <si>
    <t xml:space="preserve">Compute – per GB RAM / year</t>
  </si>
  <si>
    <t xml:space="preserve">Storage – per GB / year</t>
  </si>
  <si>
    <t xml:space="preserve">enterprise SAN + snapshots</t>
  </si>
  <si>
    <t xml:space="preserve">Windows Server licence / VM / year</t>
  </si>
  <si>
    <t xml:space="preserve">amortised incl. SA</t>
  </si>
  <si>
    <t xml:space="preserve">Linux (RHEL) subscription / VM / year</t>
  </si>
  <si>
    <t xml:space="preserve">Backup / VM / year</t>
  </si>
  <si>
    <t xml:space="preserve">Facilities (power, cooling, DC space) / VM / year</t>
  </si>
  <si>
    <t xml:space="preserve">Network / load-balancer / firewall allocation / year</t>
  </si>
  <si>
    <t xml:space="preserve">environment-level, once</t>
  </si>
  <si>
    <t xml:space="preserve">HSM / key management / year (0 if none)</t>
  </si>
  <si>
    <t xml:space="preserve">D.  Operations &amp; Labour</t>
  </si>
  <si>
    <t xml:space="preserve">Fully-loaded FTE cost / year</t>
  </si>
  <si>
    <t xml:space="preserve">salary + overhead</t>
  </si>
  <si>
    <t xml:space="preserve">On-prem PAM platform + infra admin (FTE)</t>
  </si>
  <si>
    <t xml:space="preserve">patching, upgrades, HA/DR, backup</t>
  </si>
  <si>
    <t xml:space="preserve">SaaS PAM admin (FTE)</t>
  </si>
  <si>
    <t xml:space="preserve">policy admin only</t>
  </si>
  <si>
    <t xml:space="preserve">Major version upgrade – cost each</t>
  </si>
  <si>
    <t xml:space="preserve">services + internal effort</t>
  </si>
  <si>
    <t xml:space="preserve">Number of major upgrades in horizon</t>
  </si>
  <si>
    <t xml:space="preserve">on-prem only</t>
  </si>
  <si>
    <t xml:space="preserve">DR test / audit / year</t>
  </si>
  <si>
    <t xml:space="preserve">E.  One-Time Migration Cost  (SaaS project, Year 1)</t>
  </si>
  <si>
    <t xml:space="preserve">Professional services (migration)</t>
  </si>
  <si>
    <t xml:space="preserve">CyberArk / partner</t>
  </si>
  <si>
    <t xml:space="preserve">Internal migration effort</t>
  </si>
  <si>
    <t xml:space="preserve">Training &amp; enablement</t>
  </si>
  <si>
    <t xml:space="preserve">F.  SaaS Residual On-Prem Connectors  (minimal footprint)</t>
  </si>
  <si>
    <t xml:space="preserve">Connector VMs remaining on-prem (Qty)</t>
  </si>
  <si>
    <t xml:space="preserve">G.  Analysis Parameters</t>
  </si>
  <si>
    <t xml:space="preserve">Analysis horizon (years)</t>
  </si>
  <si>
    <t xml:space="preserve">Discount rate (for NPV)</t>
  </si>
  <si>
    <t xml:space="preserve">ON-PREM (SELF-HOSTED) TCO</t>
  </si>
  <si>
    <t xml:space="preserve">1.  Infrastructure – annual cost build-up per component</t>
  </si>
  <si>
    <t xml:space="preserve">Tot vCPU</t>
  </si>
  <si>
    <t xml:space="preserve">Tot RAM</t>
  </si>
  <si>
    <t xml:space="preserve">Tot Stor</t>
  </si>
  <si>
    <t xml:space="preserve">Compute €</t>
  </si>
  <si>
    <t xml:space="preserve">Storage €</t>
  </si>
  <si>
    <t xml:space="preserve">OS €</t>
  </si>
  <si>
    <t xml:space="preserve">Backup €</t>
  </si>
  <si>
    <t xml:space="preserve">Facilities €</t>
  </si>
  <si>
    <t xml:space="preserve">Annual €</t>
  </si>
  <si>
    <t xml:space="preserve">Subtotal – servers</t>
  </si>
  <si>
    <t xml:space="preserve">Network / LB / firewall (environment)</t>
  </si>
  <si>
    <t xml:space="preserve">HSM / key management</t>
  </si>
  <si>
    <t xml:space="preserve">Infrastructure – total annual</t>
  </si>
  <si>
    <t xml:space="preserve">2.  Operations – annual</t>
  </si>
  <si>
    <t xml:space="preserve">Item</t>
  </si>
  <si>
    <t xml:space="preserve">Basis</t>
  </si>
  <si>
    <t xml:space="preserve">Platform + infrastructure administration</t>
  </si>
  <si>
    <t xml:space="preserve">DR test / audit</t>
  </si>
  <si>
    <t xml:space="preserve">Operations – total annual</t>
  </si>
  <si>
    <t xml:space="preserve">3.  3-Year TCO build</t>
  </si>
  <si>
    <t xml:space="preserve">Cost line</t>
  </si>
  <si>
    <t xml:space="preserve">3-Year Total</t>
  </si>
  <si>
    <t xml:space="preserve">Software licence / maintenance</t>
  </si>
  <si>
    <t xml:space="preserve">Major version upgrades (annualised)</t>
  </si>
  <si>
    <t xml:space="preserve">TOTAL On-Prem TCO</t>
  </si>
  <si>
    <t xml:space="preserve">CYBERARK MODERN PAM (SaaS) TCO</t>
  </si>
  <si>
    <t xml:space="preserve">1.  Residual on-prem connector infrastructure – annual</t>
  </si>
  <si>
    <t xml:space="preserve">Compute (vCPU + RAM)</t>
  </si>
  <si>
    <t xml:space="preserve">Storage</t>
  </si>
  <si>
    <t xml:space="preserve">OS licence (Windows)</t>
  </si>
  <si>
    <t xml:space="preserve">Backup + facilities</t>
  </si>
  <si>
    <t xml:space="preserve">Connector infra – total annual</t>
  </si>
  <si>
    <t xml:space="preserve">2.  3-Year TCO build</t>
  </si>
  <si>
    <t xml:space="preserve">SaaS subscription</t>
  </si>
  <si>
    <t xml:space="preserve">Residual connector infrastructure</t>
  </si>
  <si>
    <t xml:space="preserve">Operations &amp; labour (policy admin)</t>
  </si>
  <si>
    <t xml:space="preserve">One-time migration (Year 1)</t>
  </si>
  <si>
    <t xml:space="preserve">TOTAL SaaS TCO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</si>
</sst>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€#,##0;&quot;(€&quot;#,##0\);\-"/>
    <numFmt numFmtId="166" formatCode="0.0%"/>
    <numFmt numFmtId="167" formatCode="0.0&quot; mo&quot;"/>
    <numFmt numFmtId="168" formatCode="#,##0;\(#,##0\);\-"/>
    <numFmt numFmtId="169" formatCode="\€#,##0.00;&quot;(€&quot;#,##0.00\);\-"/>
    <numFmt numFmtId="170" formatCode="#,##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EA9DB"/>
        <bgColor rgb="FF99CCFF"/>
      </patternFill>
    </fill>
    <fill>
      <patternFill patternType="solid">
        <fgColor rgb="FF1F3864"/>
        <bgColor rgb="FF333399"/>
      </patternFill>
    </fill>
    <fill>
      <patternFill patternType="solid">
        <fgColor rgb="FF70AD47"/>
        <bgColor rgb="FF878787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3-Year TCO by Category: On-Prem vs SaaS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'ROI Summary'!J9</c:f>
              <c:strCache>
                <c:ptCount val="1"/>
                <c:pt idx="0">
                  <c:v>On-Prem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Summary'!$I$10:$I$14</c:f>
              <c:strCache>
                <c:ptCount val="5"/>
                <c:pt idx="0">
                  <c:v>Licence/Sub</c:v>
                </c:pt>
                <c:pt idx="1">
                  <c:v>Infrastructure</c:v>
                </c:pt>
                <c:pt idx="2">
                  <c:v>Operations</c:v>
                </c:pt>
                <c:pt idx="3">
                  <c:v>Upgrades</c:v>
                </c:pt>
                <c:pt idx="4">
                  <c:v>Migration</c:v>
                </c:pt>
              </c:strCache>
            </c:strRef>
          </c:cat>
          <c:val>
            <c:numRef>
              <c:f>'ROI Summary'!$J$10:$J$14</c:f>
              <c:numCache>
                <c:formatCode>\€#,##0;"(€"#,##0\);\-</c:formatCode>
                <c:ptCount val="5"/>
                <c:pt idx="0">
                  <c:v>567450</c:v>
                </c:pt>
                <c:pt idx="1">
                  <c:v>96162</c:v>
                </c:pt>
                <c:pt idx="2">
                  <c:v>451500</c:v>
                </c:pt>
                <c:pt idx="3">
                  <c:v>60000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'ROI Summary'!K9</c:f>
              <c:strCache>
                <c:ptCount val="1"/>
                <c:pt idx="0">
                  <c:v>SaaS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Summary'!$I$10:$I$14</c:f>
              <c:strCache>
                <c:ptCount val="5"/>
                <c:pt idx="0">
                  <c:v>Licence/Sub</c:v>
                </c:pt>
                <c:pt idx="1">
                  <c:v>Infrastructure</c:v>
                </c:pt>
                <c:pt idx="2">
                  <c:v>Operations</c:v>
                </c:pt>
                <c:pt idx="3">
                  <c:v>Upgrades</c:v>
                </c:pt>
                <c:pt idx="4">
                  <c:v>Migration</c:v>
                </c:pt>
              </c:strCache>
            </c:strRef>
          </c:cat>
          <c:val>
            <c:numRef>
              <c:f>'ROI Summary'!$K$10:$K$14</c:f>
              <c:numCache>
                <c:formatCode>\€#,##0;"(€"#,##0\);\-</c:formatCode>
                <c:ptCount val="5"/>
                <c:pt idx="0">
                  <c:v>463635</c:v>
                </c:pt>
                <c:pt idx="1">
                  <c:v>10884</c:v>
                </c:pt>
                <c:pt idx="2">
                  <c:v>114000</c:v>
                </c:pt>
                <c:pt idx="3">
                  <c:v>0</c:v>
                </c:pt>
                <c:pt idx="4">
                  <c:v>71000</c:v>
                </c:pt>
              </c:numCache>
            </c:numRef>
          </c:val>
        </c:ser>
        <c:gapWidth val="150"/>
        <c:overlap val="0"/>
        <c:axId val="74211739"/>
        <c:axId val="82559800"/>
      </c:barChart>
      <c:catAx>
        <c:axId val="74211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59800"/>
        <c:crosses val="autoZero"/>
        <c:auto val="1"/>
        <c:lblAlgn val="ctr"/>
        <c:lblOffset val="100"/>
        <c:noMultiLvlLbl val="0"/>
      </c:catAx>
      <c:valAx>
        <c:axId val="82559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;&quot;(€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11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Cost Over 3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'ROI Summary'!N18</c:f>
              <c:strCache>
                <c:ptCount val="1"/>
                <c:pt idx="0">
                  <c:v>On-Prem cum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Summary'!$M$19:$M$21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'ROI Summary'!$N$19:$N$21</c:f>
              <c:numCache>
                <c:formatCode>\€#,##0;"(€"#,##0\);\-</c:formatCode>
                <c:ptCount val="3"/>
                <c:pt idx="0">
                  <c:v>382554</c:v>
                </c:pt>
                <c:pt idx="1">
                  <c:v>774108</c:v>
                </c:pt>
                <c:pt idx="2">
                  <c:v>1175112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'ROI Summary'!O18</c:f>
              <c:strCache>
                <c:ptCount val="1"/>
                <c:pt idx="0">
                  <c:v>SaaS cum</c:v>
                </c:pt>
              </c:strCache>
            </c:strRef>
          </c:tx>
          <c:spPr>
            <a:solidFill>
              <a:srgbClr val="70ad47"/>
            </a:solidFill>
            <a:ln w="28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'ROI Summary'!$M$19:$M$21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'ROI Summary'!$O$19:$O$21</c:f>
              <c:numCache>
                <c:formatCode>\€#,##0;"(€"#,##0\);\-</c:formatCode>
                <c:ptCount val="3"/>
                <c:pt idx="0">
                  <c:v>262628</c:v>
                </c:pt>
                <c:pt idx="1">
                  <c:v>458756</c:v>
                </c:pt>
                <c:pt idx="2">
                  <c:v>659519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63316"/>
        <c:axId val="68392601"/>
      </c:lineChart>
      <c:catAx>
        <c:axId val="86633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92601"/>
        <c:crosses val="autoZero"/>
        <c:auto val="1"/>
        <c:lblAlgn val="ctr"/>
        <c:lblOffset val="100"/>
        <c:noMultiLvlLbl val="0"/>
      </c:catAx>
      <c:valAx>
        <c:axId val="68392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;&quot;(€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33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131040</xdr:rowOff>
    </xdr:from>
    <xdr:to>
      <xdr:col>5</xdr:col>
      <xdr:colOff>339840</xdr:colOff>
      <xdr:row>40</xdr:row>
      <xdr:rowOff>142560</xdr:rowOff>
    </xdr:to>
    <xdr:graphicFrame>
      <xdr:nvGraphicFramePr>
        <xdr:cNvPr id="0" name="Chart 1"/>
        <xdr:cNvGraphicFramePr/>
      </xdr:nvGraphicFramePr>
      <xdr:xfrm>
        <a:off x="141120" y="5334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131040</xdr:rowOff>
    </xdr:from>
    <xdr:to>
      <xdr:col>5</xdr:col>
      <xdr:colOff>339840</xdr:colOff>
      <xdr:row>58</xdr:row>
      <xdr:rowOff>142560</xdr:rowOff>
    </xdr:to>
    <xdr:graphicFrame>
      <xdr:nvGraphicFramePr>
        <xdr:cNvPr id="1" name="Chart 2"/>
        <xdr:cNvGraphicFramePr/>
      </xdr:nvGraphicFramePr>
      <xdr:xfrm>
        <a:off x="141120" y="8763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2" hidden="false" customHeight="true" outlineLevel="0" collapsed="false">
      <c r="B5" s="3" t="s">
        <v>2</v>
      </c>
      <c r="C5" s="4" t="s">
        <v>3</v>
      </c>
    </row>
    <row r="6" customFormat="false" ht="42" hidden="false" customHeight="true" outlineLevel="0" collapsed="false">
      <c r="B6" s="3" t="s">
        <v>4</v>
      </c>
      <c r="C6" s="4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5" t="s">
        <v>7</v>
      </c>
      <c r="C9" s="6" t="s">
        <v>8</v>
      </c>
    </row>
    <row r="10" customFormat="false" ht="15" hidden="false" customHeight="false" outlineLevel="0" collapsed="false">
      <c r="B10" s="7" t="s">
        <v>9</v>
      </c>
      <c r="C10" s="6" t="s">
        <v>10</v>
      </c>
    </row>
    <row r="11" customFormat="false" ht="15" hidden="false" customHeight="false" outlineLevel="0" collapsed="false">
      <c r="B11" s="8" t="s">
        <v>11</v>
      </c>
      <c r="C11" s="6" t="s">
        <v>12</v>
      </c>
    </row>
    <row r="12" customFormat="false" ht="15" hidden="false" customHeight="false" outlineLevel="0" collapsed="false">
      <c r="B12" s="9" t="s">
        <v>13</v>
      </c>
      <c r="C12" s="6" t="s">
        <v>14</v>
      </c>
    </row>
    <row r="14" customFormat="false" ht="42" hidden="false" customHeight="true" outlineLevel="0" collapsed="false">
      <c r="B14" s="3" t="s">
        <v>15</v>
      </c>
      <c r="C14" s="4" t="s">
        <v>16</v>
      </c>
    </row>
    <row r="15" customFormat="false" ht="42" hidden="false" customHeight="true" outlineLevel="0" collapsed="false">
      <c r="B15" s="3" t="s">
        <v>17</v>
      </c>
      <c r="C15" s="4" t="s">
        <v>18</v>
      </c>
    </row>
    <row r="16" customFormat="false" ht="42" hidden="false" customHeight="true" outlineLevel="0" collapsed="false">
      <c r="B16" s="3" t="s">
        <v>19</v>
      </c>
      <c r="C1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6"/>
  </cols>
  <sheetData>
    <row r="2" customFormat="false" ht="19.7" hidden="false" customHeight="false" outlineLevel="0" collapsed="false">
      <c r="B2" s="1" t="s">
        <v>21</v>
      </c>
    </row>
    <row r="4" customFormat="false" ht="19.5" hidden="false" customHeight="true" outlineLevel="0" collapsed="false">
      <c r="B4" s="10" t="s">
        <v>22</v>
      </c>
      <c r="C4" s="10"/>
      <c r="D4" s="10"/>
      <c r="E4" s="10"/>
      <c r="F4" s="10"/>
      <c r="G4" s="10"/>
    </row>
    <row r="5" customFormat="false" ht="30" hidden="false" customHeight="true" outlineLevel="0" collapsed="false">
      <c r="B5" s="11" t="s">
        <v>23</v>
      </c>
      <c r="C5" s="11" t="s">
        <v>24</v>
      </c>
      <c r="D5" s="11" t="s">
        <v>25</v>
      </c>
      <c r="E5" s="11" t="s">
        <v>26</v>
      </c>
    </row>
    <row r="6" customFormat="false" ht="31.5" hidden="false" customHeight="true" outlineLevel="0" collapsed="false">
      <c r="B6" s="12" t="n">
        <f aca="false">'On-Prem TCO'!$F$29-'SaaS TCO'!$F$18</f>
        <v>515593</v>
      </c>
      <c r="C6" s="13" t="n">
        <f aca="false">('On-Prem TCO'!$F$29-'SaaS TCO'!$F$18)/'SaaS TCO'!$F$18</f>
        <v>0.781771260570203</v>
      </c>
      <c r="D6" s="14" t="n">
        <f aca="false">IF(('On-Prem TCO'!$D$29-'SaaS TCO'!$D$18)&lt;=0,0,'SaaS TCO'!$C$17/('On-Prem TCO'!$D$29-'SaaS TCO'!$D$18)*12)</f>
        <v>4.35970648736606</v>
      </c>
      <c r="E6" s="12" t="n">
        <f aca="false">'On-Prem TCO'!$D$29-'SaaS TCO'!$D$18</f>
        <v>195426</v>
      </c>
    </row>
    <row r="8" customFormat="false" ht="19.5" hidden="false" customHeight="true" outlineLevel="0" collapsed="false">
      <c r="B8" s="10" t="s">
        <v>27</v>
      </c>
      <c r="C8" s="10"/>
      <c r="D8" s="10"/>
      <c r="E8" s="10"/>
      <c r="F8" s="10"/>
      <c r="G8" s="10"/>
    </row>
    <row r="9" customFormat="false" ht="15" hidden="false" customHeight="false" outlineLevel="0" collapsed="false">
      <c r="B9" s="11" t="s">
        <v>28</v>
      </c>
      <c r="C9" s="11" t="s">
        <v>29</v>
      </c>
      <c r="D9" s="11" t="s">
        <v>30</v>
      </c>
      <c r="E9" s="11" t="s">
        <v>31</v>
      </c>
      <c r="I9" s="15" t="s">
        <v>32</v>
      </c>
      <c r="J9" s="15" t="s">
        <v>33</v>
      </c>
      <c r="K9" s="15" t="s">
        <v>34</v>
      </c>
    </row>
    <row r="10" customFormat="false" ht="15" hidden="false" customHeight="false" outlineLevel="0" collapsed="false">
      <c r="B10" s="16" t="s">
        <v>35</v>
      </c>
      <c r="C10" s="17" t="n">
        <f aca="false">'On-Prem TCO'!$F$25</f>
        <v>567450</v>
      </c>
      <c r="D10" s="17" t="n">
        <f aca="false">'SaaS TCO'!$F$14</f>
        <v>463635</v>
      </c>
      <c r="E10" s="18" t="n">
        <f aca="false">C10-D10</f>
        <v>103815</v>
      </c>
      <c r="I10" s="19" t="s">
        <v>36</v>
      </c>
      <c r="J10" s="18" t="n">
        <f aca="false">C10</f>
        <v>567450</v>
      </c>
      <c r="K10" s="18" t="n">
        <f aca="false">D10</f>
        <v>463635</v>
      </c>
    </row>
    <row r="11" customFormat="false" ht="15" hidden="false" customHeight="false" outlineLevel="0" collapsed="false">
      <c r="B11" s="16" t="s">
        <v>37</v>
      </c>
      <c r="C11" s="17" t="n">
        <f aca="false">'On-Prem TCO'!$F$26</f>
        <v>96162</v>
      </c>
      <c r="D11" s="17" t="n">
        <f aca="false">'SaaS TCO'!$F$15</f>
        <v>10884</v>
      </c>
      <c r="E11" s="18" t="n">
        <f aca="false">C11-D11</f>
        <v>85278</v>
      </c>
      <c r="I11" s="19" t="s">
        <v>37</v>
      </c>
      <c r="J11" s="18" t="n">
        <f aca="false">C11</f>
        <v>96162</v>
      </c>
      <c r="K11" s="18" t="n">
        <f aca="false">D11</f>
        <v>10884</v>
      </c>
    </row>
    <row r="12" customFormat="false" ht="15" hidden="false" customHeight="false" outlineLevel="0" collapsed="false">
      <c r="B12" s="16" t="s">
        <v>38</v>
      </c>
      <c r="C12" s="17" t="n">
        <f aca="false">'On-Prem TCO'!$F$27</f>
        <v>451500</v>
      </c>
      <c r="D12" s="17" t="n">
        <f aca="false">'SaaS TCO'!$F$16</f>
        <v>114000</v>
      </c>
      <c r="E12" s="18" t="n">
        <f aca="false">C12-D12</f>
        <v>337500</v>
      </c>
      <c r="I12" s="19" t="s">
        <v>39</v>
      </c>
      <c r="J12" s="18" t="n">
        <f aca="false">C12</f>
        <v>451500</v>
      </c>
      <c r="K12" s="18" t="n">
        <f aca="false">D12</f>
        <v>114000</v>
      </c>
    </row>
    <row r="13" customFormat="false" ht="15" hidden="false" customHeight="false" outlineLevel="0" collapsed="false">
      <c r="B13" s="16" t="s">
        <v>40</v>
      </c>
      <c r="C13" s="17" t="n">
        <f aca="false">'On-Prem TCO'!$F$28</f>
        <v>60000</v>
      </c>
      <c r="D13" s="17" t="n">
        <f aca="false">0</f>
        <v>0</v>
      </c>
      <c r="E13" s="18" t="n">
        <f aca="false">C13-D13</f>
        <v>60000</v>
      </c>
      <c r="I13" s="19" t="s">
        <v>41</v>
      </c>
      <c r="J13" s="18" t="n">
        <f aca="false">C13</f>
        <v>60000</v>
      </c>
      <c r="K13" s="18" t="n">
        <f aca="false">D13</f>
        <v>0</v>
      </c>
    </row>
    <row r="14" customFormat="false" ht="15" hidden="false" customHeight="false" outlineLevel="0" collapsed="false">
      <c r="B14" s="16" t="s">
        <v>42</v>
      </c>
      <c r="C14" s="17" t="n">
        <f aca="false">0</f>
        <v>0</v>
      </c>
      <c r="D14" s="17" t="n">
        <f aca="false">'SaaS TCO'!$F$17</f>
        <v>71000</v>
      </c>
      <c r="E14" s="18" t="n">
        <f aca="false">C14-D14</f>
        <v>-71000</v>
      </c>
      <c r="I14" s="19" t="s">
        <v>43</v>
      </c>
      <c r="J14" s="18" t="n">
        <f aca="false">C14</f>
        <v>0</v>
      </c>
      <c r="K14" s="18" t="n">
        <f aca="false">D14</f>
        <v>71000</v>
      </c>
    </row>
    <row r="15" customFormat="false" ht="15" hidden="false" customHeight="false" outlineLevel="0" collapsed="false">
      <c r="B15" s="20" t="s">
        <v>44</v>
      </c>
      <c r="C15" s="21" t="n">
        <f aca="false">SUM(C10:C14)</f>
        <v>1175112</v>
      </c>
      <c r="D15" s="21" t="n">
        <f aca="false">SUM(D10:D14)</f>
        <v>659519</v>
      </c>
      <c r="E15" s="21" t="n">
        <f aca="false">SUM(E10:E14)</f>
        <v>515593</v>
      </c>
    </row>
    <row r="17" customFormat="false" ht="19.5" hidden="false" customHeight="true" outlineLevel="0" collapsed="false">
      <c r="B17" s="10" t="s">
        <v>45</v>
      </c>
      <c r="C17" s="10"/>
      <c r="D17" s="10"/>
      <c r="E17" s="10"/>
      <c r="F17" s="10"/>
      <c r="G17" s="10"/>
    </row>
    <row r="18" customFormat="false" ht="15" hidden="false" customHeight="false" outlineLevel="0" collapsed="false">
      <c r="B18" s="11"/>
      <c r="C18" s="11" t="s">
        <v>46</v>
      </c>
      <c r="D18" s="11" t="s">
        <v>47</v>
      </c>
      <c r="E18" s="11" t="s">
        <v>48</v>
      </c>
      <c r="M18" s="15" t="s">
        <v>49</v>
      </c>
      <c r="N18" s="15" t="s">
        <v>50</v>
      </c>
      <c r="O18" s="15" t="s">
        <v>51</v>
      </c>
    </row>
    <row r="19" customFormat="false" ht="15" hidden="false" customHeight="false" outlineLevel="0" collapsed="false">
      <c r="B19" s="16" t="s">
        <v>52</v>
      </c>
      <c r="C19" s="17" t="n">
        <f aca="false">'On-Prem TCO'!$C$29</f>
        <v>382554</v>
      </c>
      <c r="D19" s="17" t="n">
        <f aca="false">'On-Prem TCO'!$D$29</f>
        <v>391554</v>
      </c>
      <c r="E19" s="17" t="n">
        <f aca="false">'On-Prem TCO'!$E$29</f>
        <v>401004</v>
      </c>
      <c r="M19" s="19" t="s">
        <v>46</v>
      </c>
      <c r="N19" s="18" t="n">
        <f aca="false">C19</f>
        <v>382554</v>
      </c>
      <c r="O19" s="18" t="n">
        <f aca="false">C20</f>
        <v>262628</v>
      </c>
    </row>
    <row r="20" customFormat="false" ht="15" hidden="false" customHeight="false" outlineLevel="0" collapsed="false">
      <c r="B20" s="16" t="s">
        <v>53</v>
      </c>
      <c r="C20" s="17" t="n">
        <f aca="false">'SaaS TCO'!$C$18</f>
        <v>262628</v>
      </c>
      <c r="D20" s="17" t="n">
        <f aca="false">'SaaS TCO'!$D$18</f>
        <v>196128</v>
      </c>
      <c r="E20" s="17" t="n">
        <f aca="false">'SaaS TCO'!$E$18</f>
        <v>200763</v>
      </c>
      <c r="M20" s="19" t="s">
        <v>47</v>
      </c>
      <c r="N20" s="18" t="n">
        <f aca="false">N19+D19</f>
        <v>774108</v>
      </c>
      <c r="O20" s="18" t="n">
        <f aca="false">O19+D20</f>
        <v>458756</v>
      </c>
    </row>
    <row r="21" customFormat="false" ht="15" hidden="false" customHeight="false" outlineLevel="0" collapsed="false">
      <c r="B21" s="22" t="s">
        <v>54</v>
      </c>
      <c r="C21" s="23" t="n">
        <f aca="false">C19-C20</f>
        <v>119926</v>
      </c>
      <c r="D21" s="23" t="n">
        <f aca="false">D19-D20</f>
        <v>195426</v>
      </c>
      <c r="E21" s="23" t="n">
        <f aca="false">E19-E20</f>
        <v>200241</v>
      </c>
      <c r="M21" s="19" t="s">
        <v>48</v>
      </c>
      <c r="N21" s="18" t="n">
        <f aca="false">N20+E19</f>
        <v>1175112</v>
      </c>
      <c r="O21" s="18" t="n">
        <f aca="false">O20+E20</f>
        <v>659519</v>
      </c>
    </row>
    <row r="22" customFormat="false" ht="15" hidden="false" customHeight="false" outlineLevel="0" collapsed="false">
      <c r="B22" s="24" t="s">
        <v>55</v>
      </c>
      <c r="C22" s="25" t="n">
        <f aca="false">C21</f>
        <v>119926</v>
      </c>
      <c r="D22" s="25" t="n">
        <f aca="false">C22+D21</f>
        <v>315352</v>
      </c>
      <c r="E22" s="25" t="n">
        <f aca="false">D22+E21</f>
        <v>515593</v>
      </c>
    </row>
    <row r="24" customFormat="false" ht="15" hidden="false" customHeight="false" outlineLevel="0" collapsed="false">
      <c r="B24" s="22" t="s">
        <v>56</v>
      </c>
      <c r="C24" s="23" t="n">
        <f aca="false">NPV('Inputs &amp; Assumptions'!$C$51,C21:E21)</f>
        <v>437546.650663009</v>
      </c>
    </row>
  </sheetData>
  <mergeCells count="3">
    <mergeCell ref="B4:G4"/>
    <mergeCell ref="B8:G8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30"/>
  </cols>
  <sheetData>
    <row r="2" customFormat="false" ht="17.35" hidden="false" customHeight="false" outlineLevel="0" collapsed="false">
      <c r="B2" s="26" t="s">
        <v>57</v>
      </c>
    </row>
    <row r="4" customFormat="false" ht="19.5" hidden="false" customHeight="true" outlineLevel="0" collapsed="false">
      <c r="B4" s="10" t="s">
        <v>58</v>
      </c>
      <c r="C4" s="10"/>
      <c r="D4" s="10"/>
      <c r="E4" s="10"/>
      <c r="F4" s="10"/>
      <c r="G4" s="10"/>
      <c r="H4" s="10"/>
      <c r="I4" s="10"/>
    </row>
    <row r="5" customFormat="false" ht="15" hidden="false" customHeight="false" outlineLevel="0" collapsed="false">
      <c r="B5" s="27" t="s">
        <v>59</v>
      </c>
      <c r="C5" s="28" t="n">
        <v>180000</v>
      </c>
      <c r="I5" s="29" t="s">
        <v>60</v>
      </c>
    </row>
    <row r="6" customFormat="false" ht="15" hidden="false" customHeight="false" outlineLevel="0" collapsed="false">
      <c r="B6" s="27" t="s">
        <v>61</v>
      </c>
      <c r="C6" s="30" t="n">
        <v>0.05</v>
      </c>
    </row>
    <row r="7" customFormat="false" ht="15" hidden="false" customHeight="false" outlineLevel="0" collapsed="false">
      <c r="B7" s="27" t="s">
        <v>62</v>
      </c>
      <c r="C7" s="28" t="n">
        <v>150000</v>
      </c>
      <c r="I7" s="29" t="s">
        <v>63</v>
      </c>
    </row>
    <row r="8" customFormat="false" ht="15" hidden="false" customHeight="false" outlineLevel="0" collapsed="false">
      <c r="B8" s="27" t="s">
        <v>64</v>
      </c>
      <c r="C8" s="30" t="n">
        <v>0.03</v>
      </c>
    </row>
    <row r="10" customFormat="false" ht="19.5" hidden="false" customHeight="true" outlineLevel="0" collapsed="false">
      <c r="B10" s="10" t="s">
        <v>65</v>
      </c>
      <c r="C10" s="10"/>
      <c r="D10" s="10"/>
      <c r="E10" s="10"/>
      <c r="F10" s="10"/>
      <c r="G10" s="10"/>
      <c r="H10" s="10"/>
      <c r="I10" s="10"/>
    </row>
    <row r="11" customFormat="false" ht="23.85" hidden="false" customHeight="false" outlineLevel="0" collapsed="false">
      <c r="B11" s="11" t="s">
        <v>66</v>
      </c>
      <c r="C11" s="11" t="s">
        <v>67</v>
      </c>
      <c r="D11" s="11" t="s">
        <v>68</v>
      </c>
      <c r="E11" s="11" t="s">
        <v>69</v>
      </c>
      <c r="F11" s="11" t="s">
        <v>70</v>
      </c>
      <c r="G11" s="11" t="s">
        <v>71</v>
      </c>
      <c r="H11" s="11" t="s">
        <v>72</v>
      </c>
    </row>
    <row r="12" customFormat="false" ht="15" hidden="false" customHeight="false" outlineLevel="0" collapsed="false">
      <c r="B12" s="16" t="s">
        <v>73</v>
      </c>
      <c r="C12" s="31" t="n">
        <v>2</v>
      </c>
      <c r="D12" s="32" t="n">
        <v>8</v>
      </c>
      <c r="E12" s="32" t="n">
        <v>32</v>
      </c>
      <c r="F12" s="32" t="n">
        <v>500</v>
      </c>
      <c r="G12" s="33" t="s">
        <v>74</v>
      </c>
      <c r="H12" s="34" t="s">
        <v>75</v>
      </c>
    </row>
    <row r="13" customFormat="false" ht="15" hidden="false" customHeight="false" outlineLevel="0" collapsed="false">
      <c r="B13" s="16" t="s">
        <v>76</v>
      </c>
      <c r="C13" s="31" t="n">
        <v>1</v>
      </c>
      <c r="D13" s="32" t="n">
        <v>8</v>
      </c>
      <c r="E13" s="32" t="n">
        <v>32</v>
      </c>
      <c r="F13" s="32" t="n">
        <v>500</v>
      </c>
      <c r="G13" s="33" t="s">
        <v>74</v>
      </c>
      <c r="H13" s="34" t="s">
        <v>77</v>
      </c>
    </row>
    <row r="14" customFormat="false" ht="15" hidden="false" customHeight="false" outlineLevel="0" collapsed="false">
      <c r="B14" s="16" t="s">
        <v>78</v>
      </c>
      <c r="C14" s="31" t="n">
        <v>2</v>
      </c>
      <c r="D14" s="32" t="n">
        <v>4</v>
      </c>
      <c r="E14" s="32" t="n">
        <v>8</v>
      </c>
      <c r="F14" s="32" t="n">
        <v>100</v>
      </c>
      <c r="G14" s="33" t="s">
        <v>74</v>
      </c>
      <c r="H14" s="34" t="s">
        <v>79</v>
      </c>
    </row>
    <row r="15" customFormat="false" ht="15" hidden="false" customHeight="false" outlineLevel="0" collapsed="false">
      <c r="B15" s="16" t="s">
        <v>80</v>
      </c>
      <c r="C15" s="31" t="n">
        <v>3</v>
      </c>
      <c r="D15" s="32" t="n">
        <v>8</v>
      </c>
      <c r="E15" s="32" t="n">
        <v>16</v>
      </c>
      <c r="F15" s="32" t="n">
        <v>250</v>
      </c>
      <c r="G15" s="33" t="s">
        <v>74</v>
      </c>
      <c r="H15" s="34" t="s">
        <v>81</v>
      </c>
    </row>
    <row r="16" customFormat="false" ht="15" hidden="false" customHeight="false" outlineLevel="0" collapsed="false">
      <c r="B16" s="16" t="s">
        <v>82</v>
      </c>
      <c r="C16" s="31" t="n">
        <v>2</v>
      </c>
      <c r="D16" s="32" t="n">
        <v>4</v>
      </c>
      <c r="E16" s="32" t="n">
        <v>8</v>
      </c>
      <c r="F16" s="32" t="n">
        <v>100</v>
      </c>
      <c r="G16" s="33" t="s">
        <v>83</v>
      </c>
      <c r="H16" s="34" t="s">
        <v>84</v>
      </c>
    </row>
    <row r="17" customFormat="false" ht="15" hidden="false" customHeight="false" outlineLevel="0" collapsed="false">
      <c r="B17" s="16" t="s">
        <v>85</v>
      </c>
      <c r="C17" s="31" t="n">
        <v>1</v>
      </c>
      <c r="D17" s="32" t="n">
        <v>8</v>
      </c>
      <c r="E17" s="32" t="n">
        <v>32</v>
      </c>
      <c r="F17" s="32" t="n">
        <v>1000</v>
      </c>
      <c r="G17" s="33" t="s">
        <v>83</v>
      </c>
      <c r="H17" s="34" t="s">
        <v>86</v>
      </c>
    </row>
    <row r="19" customFormat="false" ht="19.5" hidden="false" customHeight="true" outlineLevel="0" collapsed="false">
      <c r="B19" s="10" t="s">
        <v>87</v>
      </c>
      <c r="C19" s="10"/>
      <c r="D19" s="10"/>
      <c r="E19" s="10"/>
      <c r="F19" s="10"/>
      <c r="G19" s="10"/>
      <c r="H19" s="10"/>
      <c r="I19" s="10"/>
    </row>
    <row r="20" customFormat="false" ht="15" hidden="false" customHeight="false" outlineLevel="0" collapsed="false">
      <c r="B20" s="27" t="s">
        <v>88</v>
      </c>
      <c r="C20" s="35" t="n">
        <v>120</v>
      </c>
      <c r="I20" s="36" t="s">
        <v>89</v>
      </c>
    </row>
    <row r="21" customFormat="false" ht="15" hidden="false" customHeight="false" outlineLevel="0" collapsed="false">
      <c r="B21" s="27" t="s">
        <v>90</v>
      </c>
      <c r="C21" s="35" t="n">
        <v>18</v>
      </c>
    </row>
    <row r="22" customFormat="false" ht="15" hidden="false" customHeight="false" outlineLevel="0" collapsed="false">
      <c r="B22" s="27" t="s">
        <v>91</v>
      </c>
      <c r="C22" s="37" t="n">
        <v>0.6</v>
      </c>
      <c r="I22" s="36" t="s">
        <v>92</v>
      </c>
    </row>
    <row r="23" customFormat="false" ht="15" hidden="false" customHeight="false" outlineLevel="0" collapsed="false">
      <c r="B23" s="27" t="s">
        <v>93</v>
      </c>
      <c r="C23" s="35" t="n">
        <v>350</v>
      </c>
      <c r="I23" s="36" t="s">
        <v>94</v>
      </c>
    </row>
    <row r="24" customFormat="false" ht="15" hidden="false" customHeight="false" outlineLevel="0" collapsed="false">
      <c r="B24" s="27" t="s">
        <v>95</v>
      </c>
      <c r="C24" s="35" t="n">
        <v>700</v>
      </c>
    </row>
    <row r="25" customFormat="false" ht="15" hidden="false" customHeight="false" outlineLevel="0" collapsed="false">
      <c r="B25" s="27" t="s">
        <v>96</v>
      </c>
      <c r="C25" s="35" t="n">
        <v>180</v>
      </c>
    </row>
    <row r="26" customFormat="false" ht="15" hidden="false" customHeight="false" outlineLevel="0" collapsed="false">
      <c r="B26" s="27" t="s">
        <v>97</v>
      </c>
      <c r="C26" s="35" t="n">
        <v>600</v>
      </c>
    </row>
    <row r="27" customFormat="false" ht="15" hidden="false" customHeight="false" outlineLevel="0" collapsed="false">
      <c r="B27" s="27" t="s">
        <v>98</v>
      </c>
      <c r="C27" s="35" t="n">
        <v>4000</v>
      </c>
      <c r="I27" s="36" t="s">
        <v>99</v>
      </c>
    </row>
    <row r="28" customFormat="false" ht="15" hidden="false" customHeight="false" outlineLevel="0" collapsed="false">
      <c r="B28" s="27" t="s">
        <v>100</v>
      </c>
      <c r="C28" s="35" t="n">
        <v>0</v>
      </c>
    </row>
    <row r="30" customFormat="false" ht="19.5" hidden="false" customHeight="true" outlineLevel="0" collapsed="false">
      <c r="B30" s="10" t="s">
        <v>101</v>
      </c>
      <c r="C30" s="10"/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B31" s="27" t="s">
        <v>102</v>
      </c>
      <c r="C31" s="35" t="n">
        <v>95000</v>
      </c>
      <c r="I31" s="36" t="s">
        <v>103</v>
      </c>
    </row>
    <row r="32" customFormat="false" ht="15" hidden="false" customHeight="false" outlineLevel="0" collapsed="false">
      <c r="B32" s="27" t="s">
        <v>104</v>
      </c>
      <c r="C32" s="38" t="n">
        <v>1.5</v>
      </c>
      <c r="I32" s="36" t="s">
        <v>105</v>
      </c>
    </row>
    <row r="33" customFormat="false" ht="15" hidden="false" customHeight="false" outlineLevel="0" collapsed="false">
      <c r="B33" s="27" t="s">
        <v>106</v>
      </c>
      <c r="C33" s="38" t="n">
        <v>0.4</v>
      </c>
      <c r="I33" s="36" t="s">
        <v>107</v>
      </c>
    </row>
    <row r="34" customFormat="false" ht="15" hidden="false" customHeight="false" outlineLevel="0" collapsed="false">
      <c r="B34" s="27" t="s">
        <v>108</v>
      </c>
      <c r="C34" s="35" t="n">
        <v>30000</v>
      </c>
      <c r="I34" s="36" t="s">
        <v>109</v>
      </c>
    </row>
    <row r="35" customFormat="false" ht="15" hidden="false" customHeight="false" outlineLevel="0" collapsed="false">
      <c r="B35" s="27" t="s">
        <v>110</v>
      </c>
      <c r="C35" s="32" t="n">
        <v>2</v>
      </c>
      <c r="I35" s="36" t="s">
        <v>111</v>
      </c>
    </row>
    <row r="36" customFormat="false" ht="15" hidden="false" customHeight="false" outlineLevel="0" collapsed="false">
      <c r="B36" s="27" t="s">
        <v>112</v>
      </c>
      <c r="C36" s="35" t="n">
        <v>8000</v>
      </c>
    </row>
    <row r="38" customFormat="false" ht="19.5" hidden="false" customHeight="true" outlineLevel="0" collapsed="false">
      <c r="B38" s="10" t="s">
        <v>113</v>
      </c>
      <c r="C38" s="10"/>
      <c r="D38" s="10"/>
      <c r="E38" s="10"/>
      <c r="F38" s="10"/>
      <c r="G38" s="10"/>
      <c r="H38" s="10"/>
      <c r="I38" s="10"/>
    </row>
    <row r="39" customFormat="false" ht="15" hidden="false" customHeight="false" outlineLevel="0" collapsed="false">
      <c r="B39" s="27" t="s">
        <v>114</v>
      </c>
      <c r="C39" s="35" t="n">
        <v>45000</v>
      </c>
      <c r="I39" s="36" t="s">
        <v>115</v>
      </c>
    </row>
    <row r="40" customFormat="false" ht="15" hidden="false" customHeight="false" outlineLevel="0" collapsed="false">
      <c r="B40" s="27" t="s">
        <v>116</v>
      </c>
      <c r="C40" s="35" t="n">
        <v>20000</v>
      </c>
    </row>
    <row r="41" customFormat="false" ht="15" hidden="false" customHeight="false" outlineLevel="0" collapsed="false">
      <c r="B41" s="27" t="s">
        <v>117</v>
      </c>
      <c r="C41" s="35" t="n">
        <v>6000</v>
      </c>
    </row>
    <row r="43" customFormat="false" ht="19.5" hidden="false" customHeight="true" outlineLevel="0" collapsed="false">
      <c r="B43" s="10" t="s">
        <v>118</v>
      </c>
      <c r="C43" s="10"/>
      <c r="D43" s="10"/>
      <c r="E43" s="10"/>
      <c r="F43" s="10"/>
      <c r="G43" s="10"/>
      <c r="H43" s="10"/>
      <c r="I43" s="10"/>
    </row>
    <row r="44" customFormat="false" ht="15" hidden="false" customHeight="false" outlineLevel="0" collapsed="false">
      <c r="B44" s="27" t="s">
        <v>119</v>
      </c>
      <c r="C44" s="32" t="n">
        <v>2</v>
      </c>
    </row>
    <row r="45" customFormat="false" ht="15" hidden="false" customHeight="false" outlineLevel="0" collapsed="false">
      <c r="B45" s="27" t="s">
        <v>68</v>
      </c>
      <c r="C45" s="32" t="n">
        <v>4</v>
      </c>
    </row>
    <row r="46" customFormat="false" ht="15" hidden="false" customHeight="false" outlineLevel="0" collapsed="false">
      <c r="B46" s="27" t="s">
        <v>69</v>
      </c>
      <c r="C46" s="32" t="n">
        <v>8</v>
      </c>
    </row>
    <row r="47" customFormat="false" ht="15" hidden="false" customHeight="false" outlineLevel="0" collapsed="false">
      <c r="B47" s="27" t="s">
        <v>70</v>
      </c>
      <c r="C47" s="32" t="n">
        <v>100</v>
      </c>
    </row>
    <row r="49" customFormat="false" ht="19.5" hidden="false" customHeight="true" outlineLevel="0" collapsed="false">
      <c r="B49" s="10" t="s">
        <v>120</v>
      </c>
      <c r="C49" s="10"/>
      <c r="D49" s="10"/>
      <c r="E49" s="10"/>
      <c r="F49" s="10"/>
      <c r="G49" s="10"/>
      <c r="H49" s="10"/>
      <c r="I49" s="10"/>
    </row>
    <row r="50" customFormat="false" ht="15" hidden="false" customHeight="false" outlineLevel="0" collapsed="false">
      <c r="B50" s="27" t="s">
        <v>121</v>
      </c>
      <c r="C50" s="32" t="n">
        <v>3</v>
      </c>
    </row>
    <row r="51" customFormat="false" ht="15" hidden="false" customHeight="false" outlineLevel="0" collapsed="false">
      <c r="B51" s="27" t="s">
        <v>122</v>
      </c>
      <c r="C51" s="30" t="n">
        <v>0.08</v>
      </c>
    </row>
  </sheetData>
  <mergeCells count="7">
    <mergeCell ref="B4:I4"/>
    <mergeCell ref="B10:I10"/>
    <mergeCell ref="B19:I19"/>
    <mergeCell ref="B30:I30"/>
    <mergeCell ref="B38:I38"/>
    <mergeCell ref="B43:I43"/>
    <mergeCell ref="B49:I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2" min="12" style="0" width="14"/>
  </cols>
  <sheetData>
    <row r="2" customFormat="false" ht="17.35" hidden="false" customHeight="false" outlineLevel="0" collapsed="false">
      <c r="B2" s="26" t="s">
        <v>123</v>
      </c>
    </row>
    <row r="4" customFormat="false" ht="19.5" hidden="false" customHeight="true" outlineLevel="0" collapsed="false">
      <c r="B4" s="10" t="s">
        <v>124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customFormat="false" ht="15" hidden="false" customHeight="false" outlineLevel="0" collapsed="false">
      <c r="B5" s="11" t="s">
        <v>66</v>
      </c>
      <c r="C5" s="11" t="s">
        <v>67</v>
      </c>
      <c r="D5" s="11" t="s">
        <v>125</v>
      </c>
      <c r="E5" s="11" t="s">
        <v>126</v>
      </c>
      <c r="F5" s="11" t="s">
        <v>127</v>
      </c>
      <c r="G5" s="11" t="s">
        <v>128</v>
      </c>
      <c r="H5" s="11" t="s">
        <v>129</v>
      </c>
      <c r="I5" s="11" t="s">
        <v>130</v>
      </c>
      <c r="J5" s="11" t="s">
        <v>131</v>
      </c>
      <c r="K5" s="11" t="s">
        <v>132</v>
      </c>
      <c r="L5" s="11" t="s">
        <v>133</v>
      </c>
    </row>
    <row r="6" customFormat="false" ht="15" hidden="false" customHeight="false" outlineLevel="0" collapsed="false">
      <c r="B6" s="39" t="str">
        <f aca="false">'Inputs &amp; Assumptions'!B12</f>
        <v>Vault (Primary Cluster)</v>
      </c>
      <c r="C6" s="40" t="n">
        <f aca="false">'Inputs &amp; Assumptions'!C12</f>
        <v>2</v>
      </c>
      <c r="D6" s="41" t="n">
        <f aca="false">'Inputs &amp; Assumptions'!C12*'Inputs &amp; Assumptions'!D12</f>
        <v>16</v>
      </c>
      <c r="E6" s="41" t="n">
        <f aca="false">'Inputs &amp; Assumptions'!C12*'Inputs &amp; Assumptions'!E12</f>
        <v>64</v>
      </c>
      <c r="F6" s="41" t="n">
        <f aca="false">'Inputs &amp; Assumptions'!C12*'Inputs &amp; Assumptions'!F12</f>
        <v>1000</v>
      </c>
      <c r="G6" s="18" t="n">
        <f aca="false">D6*'Inputs &amp; Assumptions'!$C$20+E6*'Inputs &amp; Assumptions'!$C$21</f>
        <v>3072</v>
      </c>
      <c r="H6" s="18" t="n">
        <f aca="false">F6*'Inputs &amp; Assumptions'!$C$22</f>
        <v>600</v>
      </c>
      <c r="I6" s="18" t="n">
        <f aca="false">C6*IF('Inputs &amp; Assumptions'!G12="Windows",'Inputs &amp; Assumptions'!$C$23,'Inputs &amp; Assumptions'!$C$24)</f>
        <v>700</v>
      </c>
      <c r="J6" s="18" t="n">
        <f aca="false">C6*'Inputs &amp; Assumptions'!$C$25</f>
        <v>360</v>
      </c>
      <c r="K6" s="18" t="n">
        <f aca="false">C6*'Inputs &amp; Assumptions'!$C$26</f>
        <v>1200</v>
      </c>
      <c r="L6" s="23" t="n">
        <f aca="false">SUM(G6:K6)</f>
        <v>5932</v>
      </c>
    </row>
    <row r="7" customFormat="false" ht="15" hidden="false" customHeight="false" outlineLevel="0" collapsed="false">
      <c r="B7" s="39" t="str">
        <f aca="false">'Inputs &amp; Assumptions'!B13</f>
        <v>Vault DR</v>
      </c>
      <c r="C7" s="40" t="n">
        <f aca="false">'Inputs &amp; Assumptions'!C13</f>
        <v>1</v>
      </c>
      <c r="D7" s="41" t="n">
        <f aca="false">'Inputs &amp; Assumptions'!C13*'Inputs &amp; Assumptions'!D13</f>
        <v>8</v>
      </c>
      <c r="E7" s="41" t="n">
        <f aca="false">'Inputs &amp; Assumptions'!C13*'Inputs &amp; Assumptions'!E13</f>
        <v>32</v>
      </c>
      <c r="F7" s="41" t="n">
        <f aca="false">'Inputs &amp; Assumptions'!C13*'Inputs &amp; Assumptions'!F13</f>
        <v>500</v>
      </c>
      <c r="G7" s="18" t="n">
        <f aca="false">D7*'Inputs &amp; Assumptions'!$C$20+E7*'Inputs &amp; Assumptions'!$C$21</f>
        <v>1536</v>
      </c>
      <c r="H7" s="18" t="n">
        <f aca="false">F7*'Inputs &amp; Assumptions'!$C$22</f>
        <v>300</v>
      </c>
      <c r="I7" s="18" t="n">
        <f aca="false">C7*IF('Inputs &amp; Assumptions'!G13="Windows",'Inputs &amp; Assumptions'!$C$23,'Inputs &amp; Assumptions'!$C$24)</f>
        <v>350</v>
      </c>
      <c r="J7" s="18" t="n">
        <f aca="false">C7*'Inputs &amp; Assumptions'!$C$25</f>
        <v>180</v>
      </c>
      <c r="K7" s="18" t="n">
        <f aca="false">C7*'Inputs &amp; Assumptions'!$C$26</f>
        <v>600</v>
      </c>
      <c r="L7" s="23" t="n">
        <f aca="false">SUM(G7:K7)</f>
        <v>2966</v>
      </c>
    </row>
    <row r="8" customFormat="false" ht="15" hidden="false" customHeight="false" outlineLevel="0" collapsed="false">
      <c r="B8" s="39" t="str">
        <f aca="false">'Inputs &amp; Assumptions'!B14</f>
        <v>CPM</v>
      </c>
      <c r="C8" s="40" t="n">
        <f aca="false">'Inputs &amp; Assumptions'!C14</f>
        <v>2</v>
      </c>
      <c r="D8" s="41" t="n">
        <f aca="false">'Inputs &amp; Assumptions'!C14*'Inputs &amp; Assumptions'!D14</f>
        <v>8</v>
      </c>
      <c r="E8" s="41" t="n">
        <f aca="false">'Inputs &amp; Assumptions'!C14*'Inputs &amp; Assumptions'!E14</f>
        <v>16</v>
      </c>
      <c r="F8" s="41" t="n">
        <f aca="false">'Inputs &amp; Assumptions'!C14*'Inputs &amp; Assumptions'!F14</f>
        <v>200</v>
      </c>
      <c r="G8" s="18" t="n">
        <f aca="false">D8*'Inputs &amp; Assumptions'!$C$20+E8*'Inputs &amp; Assumptions'!$C$21</f>
        <v>1248</v>
      </c>
      <c r="H8" s="18" t="n">
        <f aca="false">F8*'Inputs &amp; Assumptions'!$C$22</f>
        <v>120</v>
      </c>
      <c r="I8" s="18" t="n">
        <f aca="false">C8*IF('Inputs &amp; Assumptions'!G14="Windows",'Inputs &amp; Assumptions'!$C$23,'Inputs &amp; Assumptions'!$C$24)</f>
        <v>700</v>
      </c>
      <c r="J8" s="18" t="n">
        <f aca="false">C8*'Inputs &amp; Assumptions'!$C$25</f>
        <v>360</v>
      </c>
      <c r="K8" s="18" t="n">
        <f aca="false">C8*'Inputs &amp; Assumptions'!$C$26</f>
        <v>1200</v>
      </c>
      <c r="L8" s="23" t="n">
        <f aca="false">SUM(G8:K8)</f>
        <v>3628</v>
      </c>
    </row>
    <row r="9" customFormat="false" ht="15" hidden="false" customHeight="false" outlineLevel="0" collapsed="false">
      <c r="B9" s="39" t="str">
        <f aca="false">'Inputs &amp; Assumptions'!B15</f>
        <v>PSM</v>
      </c>
      <c r="C9" s="40" t="n">
        <f aca="false">'Inputs &amp; Assumptions'!C15</f>
        <v>3</v>
      </c>
      <c r="D9" s="41" t="n">
        <f aca="false">'Inputs &amp; Assumptions'!C15*'Inputs &amp; Assumptions'!D15</f>
        <v>24</v>
      </c>
      <c r="E9" s="41" t="n">
        <f aca="false">'Inputs &amp; Assumptions'!C15*'Inputs &amp; Assumptions'!E15</f>
        <v>48</v>
      </c>
      <c r="F9" s="41" t="n">
        <f aca="false">'Inputs &amp; Assumptions'!C15*'Inputs &amp; Assumptions'!F15</f>
        <v>750</v>
      </c>
      <c r="G9" s="18" t="n">
        <f aca="false">D9*'Inputs &amp; Assumptions'!$C$20+E9*'Inputs &amp; Assumptions'!$C$21</f>
        <v>3744</v>
      </c>
      <c r="H9" s="18" t="n">
        <f aca="false">F9*'Inputs &amp; Assumptions'!$C$22</f>
        <v>450</v>
      </c>
      <c r="I9" s="18" t="n">
        <f aca="false">C9*IF('Inputs &amp; Assumptions'!G15="Windows",'Inputs &amp; Assumptions'!$C$23,'Inputs &amp; Assumptions'!$C$24)</f>
        <v>1050</v>
      </c>
      <c r="J9" s="18" t="n">
        <f aca="false">C9*'Inputs &amp; Assumptions'!$C$25</f>
        <v>540</v>
      </c>
      <c r="K9" s="18" t="n">
        <f aca="false">C9*'Inputs &amp; Assumptions'!$C$26</f>
        <v>1800</v>
      </c>
      <c r="L9" s="23" t="n">
        <f aca="false">SUM(G9:K9)</f>
        <v>7584</v>
      </c>
    </row>
    <row r="10" customFormat="false" ht="15" hidden="false" customHeight="false" outlineLevel="0" collapsed="false">
      <c r="B10" s="39" t="str">
        <f aca="false">'Inputs &amp; Assumptions'!B16</f>
        <v>PSMP</v>
      </c>
      <c r="C10" s="40" t="n">
        <f aca="false">'Inputs &amp; Assumptions'!C16</f>
        <v>2</v>
      </c>
      <c r="D10" s="41" t="n">
        <f aca="false">'Inputs &amp; Assumptions'!C16*'Inputs &amp; Assumptions'!D16</f>
        <v>8</v>
      </c>
      <c r="E10" s="41" t="n">
        <f aca="false">'Inputs &amp; Assumptions'!C16*'Inputs &amp; Assumptions'!E16</f>
        <v>16</v>
      </c>
      <c r="F10" s="41" t="n">
        <f aca="false">'Inputs &amp; Assumptions'!C16*'Inputs &amp; Assumptions'!F16</f>
        <v>200</v>
      </c>
      <c r="G10" s="18" t="n">
        <f aca="false">D10*'Inputs &amp; Assumptions'!$C$20+E10*'Inputs &amp; Assumptions'!$C$21</f>
        <v>1248</v>
      </c>
      <c r="H10" s="18" t="n">
        <f aca="false">F10*'Inputs &amp; Assumptions'!$C$22</f>
        <v>120</v>
      </c>
      <c r="I10" s="18" t="n">
        <f aca="false">C10*IF('Inputs &amp; Assumptions'!G16="Windows",'Inputs &amp; Assumptions'!$C$23,'Inputs &amp; Assumptions'!$C$24)</f>
        <v>1400</v>
      </c>
      <c r="J10" s="18" t="n">
        <f aca="false">C10*'Inputs &amp; Assumptions'!$C$25</f>
        <v>360</v>
      </c>
      <c r="K10" s="18" t="n">
        <f aca="false">C10*'Inputs &amp; Assumptions'!$C$26</f>
        <v>1200</v>
      </c>
      <c r="L10" s="23" t="n">
        <f aca="false">SUM(G10:K10)</f>
        <v>4328</v>
      </c>
    </row>
    <row r="11" customFormat="false" ht="15" hidden="false" customHeight="false" outlineLevel="0" collapsed="false">
      <c r="B11" s="39" t="str">
        <f aca="false">'Inputs &amp; Assumptions'!B17</f>
        <v>PTA</v>
      </c>
      <c r="C11" s="40" t="n">
        <f aca="false">'Inputs &amp; Assumptions'!C17</f>
        <v>1</v>
      </c>
      <c r="D11" s="41" t="n">
        <f aca="false">'Inputs &amp; Assumptions'!C17*'Inputs &amp; Assumptions'!D17</f>
        <v>8</v>
      </c>
      <c r="E11" s="41" t="n">
        <f aca="false">'Inputs &amp; Assumptions'!C17*'Inputs &amp; Assumptions'!E17</f>
        <v>32</v>
      </c>
      <c r="F11" s="41" t="n">
        <f aca="false">'Inputs &amp; Assumptions'!C17*'Inputs &amp; Assumptions'!F17</f>
        <v>1000</v>
      </c>
      <c r="G11" s="18" t="n">
        <f aca="false">D11*'Inputs &amp; Assumptions'!$C$20+E11*'Inputs &amp; Assumptions'!$C$21</f>
        <v>1536</v>
      </c>
      <c r="H11" s="18" t="n">
        <f aca="false">F11*'Inputs &amp; Assumptions'!$C$22</f>
        <v>600</v>
      </c>
      <c r="I11" s="18" t="n">
        <f aca="false">C11*IF('Inputs &amp; Assumptions'!G17="Windows",'Inputs &amp; Assumptions'!$C$23,'Inputs &amp; Assumptions'!$C$24)</f>
        <v>700</v>
      </c>
      <c r="J11" s="18" t="n">
        <f aca="false">C11*'Inputs &amp; Assumptions'!$C$25</f>
        <v>180</v>
      </c>
      <c r="K11" s="18" t="n">
        <f aca="false">C11*'Inputs &amp; Assumptions'!$C$26</f>
        <v>600</v>
      </c>
      <c r="L11" s="23" t="n">
        <f aca="false">SUM(G11:K11)</f>
        <v>3616</v>
      </c>
    </row>
    <row r="12" customFormat="false" ht="15" hidden="false" customHeight="false" outlineLevel="0" collapsed="false">
      <c r="B12" s="24" t="s">
        <v>134</v>
      </c>
      <c r="C12" s="42" t="n">
        <f aca="false">SUM(C6:C11)</f>
        <v>11</v>
      </c>
      <c r="D12" s="42" t="n">
        <f aca="false">SUM(D6:D11)</f>
        <v>72</v>
      </c>
      <c r="E12" s="42" t="n">
        <f aca="false">SUM(E6:E11)</f>
        <v>208</v>
      </c>
      <c r="F12" s="42" t="n">
        <f aca="false">SUM(F6:F11)</f>
        <v>3650</v>
      </c>
      <c r="G12" s="25" t="n">
        <f aca="false">SUM(G6:G11)</f>
        <v>12384</v>
      </c>
      <c r="H12" s="25" t="n">
        <f aca="false">SUM(H6:H11)</f>
        <v>2190</v>
      </c>
      <c r="I12" s="25" t="n">
        <f aca="false">SUM(I6:I11)</f>
        <v>4900</v>
      </c>
      <c r="J12" s="25" t="n">
        <f aca="false">SUM(J6:J11)</f>
        <v>1980</v>
      </c>
      <c r="K12" s="25" t="n">
        <f aca="false">SUM(K6:K11)</f>
        <v>6600</v>
      </c>
      <c r="L12" s="25" t="n">
        <f aca="false">SUM(L6:L11)</f>
        <v>28054</v>
      </c>
    </row>
    <row r="13" customFormat="false" ht="15" hidden="false" customHeight="false" outlineLevel="0" collapsed="false">
      <c r="B13" s="16" t="s">
        <v>135</v>
      </c>
      <c r="C13" s="43"/>
      <c r="D13" s="43"/>
      <c r="E13" s="43"/>
      <c r="F13" s="43"/>
      <c r="G13" s="43"/>
      <c r="H13" s="43"/>
      <c r="I13" s="43"/>
      <c r="J13" s="43"/>
      <c r="K13" s="43"/>
      <c r="L13" s="18" t="n">
        <f aca="false">'Inputs &amp; Assumptions'!$C$27</f>
        <v>4000</v>
      </c>
    </row>
    <row r="14" customFormat="false" ht="15" hidden="false" customHeight="false" outlineLevel="0" collapsed="false">
      <c r="B14" s="16" t="s">
        <v>136</v>
      </c>
      <c r="C14" s="43"/>
      <c r="D14" s="43"/>
      <c r="E14" s="43"/>
      <c r="F14" s="43"/>
      <c r="G14" s="43"/>
      <c r="H14" s="43"/>
      <c r="I14" s="43"/>
      <c r="J14" s="43"/>
      <c r="K14" s="43"/>
      <c r="L14" s="18" t="n">
        <f aca="false">'Inputs &amp; Assumptions'!$C$28</f>
        <v>0</v>
      </c>
    </row>
    <row r="15" customFormat="false" ht="15" hidden="false" customHeight="false" outlineLevel="0" collapsed="false">
      <c r="B15" s="20" t="s">
        <v>137</v>
      </c>
      <c r="C15" s="44"/>
      <c r="D15" s="44"/>
      <c r="E15" s="44"/>
      <c r="F15" s="44"/>
      <c r="G15" s="44"/>
      <c r="H15" s="44"/>
      <c r="I15" s="44"/>
      <c r="J15" s="44"/>
      <c r="K15" s="44"/>
      <c r="L15" s="21" t="n">
        <f aca="false">L12+L13+L14</f>
        <v>32054</v>
      </c>
    </row>
    <row r="17" customFormat="false" ht="19.5" hidden="false" customHeight="true" outlineLevel="0" collapsed="false">
      <c r="B17" s="10" t="s">
        <v>138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5" hidden="false" customHeight="false" outlineLevel="0" collapsed="false">
      <c r="B18" s="11" t="s">
        <v>139</v>
      </c>
      <c r="K18" s="11" t="s">
        <v>140</v>
      </c>
      <c r="L18" s="11" t="s">
        <v>133</v>
      </c>
    </row>
    <row r="19" customFormat="false" ht="15" hidden="false" customHeight="false" outlineLevel="0" collapsed="false">
      <c r="B19" s="16" t="s">
        <v>141</v>
      </c>
      <c r="K19" s="45" t="str">
        <f aca="false">'Inputs &amp; Assumptions'!C32 &amp; " FTE"</f>
        <v>1.5 FTE</v>
      </c>
      <c r="L19" s="18" t="n">
        <f aca="false">'Inputs &amp; Assumptions'!$C$32*'Inputs &amp; Assumptions'!$C$31</f>
        <v>142500</v>
      </c>
    </row>
    <row r="20" customFormat="false" ht="15" hidden="false" customHeight="false" outlineLevel="0" collapsed="false">
      <c r="B20" s="16" t="s">
        <v>142</v>
      </c>
      <c r="K20" s="43"/>
      <c r="L20" s="18" t="n">
        <f aca="false">'Inputs &amp; Assumptions'!$C$36</f>
        <v>8000</v>
      </c>
    </row>
    <row r="21" customFormat="false" ht="15" hidden="false" customHeight="false" outlineLevel="0" collapsed="false">
      <c r="B21" s="20" t="s">
        <v>143</v>
      </c>
      <c r="K21" s="44"/>
      <c r="L21" s="21" t="n">
        <f aca="false">L19+L20</f>
        <v>150500</v>
      </c>
    </row>
    <row r="23" customFormat="false" ht="19.5" hidden="false" customHeight="true" outlineLevel="0" collapsed="false">
      <c r="B23" s="10" t="s">
        <v>144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customFormat="false" ht="15" hidden="false" customHeight="false" outlineLevel="0" collapsed="false">
      <c r="B24" s="11" t="s">
        <v>145</v>
      </c>
      <c r="C24" s="11" t="s">
        <v>46</v>
      </c>
      <c r="D24" s="11" t="s">
        <v>47</v>
      </c>
      <c r="E24" s="11" t="s">
        <v>48</v>
      </c>
      <c r="F24" s="11" t="s">
        <v>146</v>
      </c>
    </row>
    <row r="25" customFormat="false" ht="15" hidden="false" customHeight="false" outlineLevel="0" collapsed="false">
      <c r="B25" s="16" t="s">
        <v>147</v>
      </c>
      <c r="C25" s="18" t="n">
        <f aca="false">'Inputs &amp; Assumptions'!$C$5</f>
        <v>180000</v>
      </c>
      <c r="D25" s="18" t="n">
        <f aca="false">C25*(1+'Inputs &amp; Assumptions'!$C$6)</f>
        <v>189000</v>
      </c>
      <c r="E25" s="18" t="n">
        <f aca="false">D25*(1+'Inputs &amp; Assumptions'!$C$6)</f>
        <v>198450</v>
      </c>
      <c r="F25" s="23" t="n">
        <f aca="false">SUM(C25:E25)</f>
        <v>567450</v>
      </c>
    </row>
    <row r="26" customFormat="false" ht="15" hidden="false" customHeight="false" outlineLevel="0" collapsed="false">
      <c r="B26" s="16" t="s">
        <v>37</v>
      </c>
      <c r="C26" s="17" t="n">
        <f aca="false">'On-Prem TCO'!$L$15</f>
        <v>32054</v>
      </c>
      <c r="D26" s="17" t="n">
        <f aca="false">'On-Prem TCO'!$L$15</f>
        <v>32054</v>
      </c>
      <c r="E26" s="17" t="n">
        <f aca="false">'On-Prem TCO'!$L$15</f>
        <v>32054</v>
      </c>
      <c r="F26" s="23" t="n">
        <f aca="false">SUM(C26:E26)</f>
        <v>96162</v>
      </c>
    </row>
    <row r="27" customFormat="false" ht="15" hidden="false" customHeight="false" outlineLevel="0" collapsed="false">
      <c r="B27" s="16" t="s">
        <v>38</v>
      </c>
      <c r="C27" s="17" t="n">
        <f aca="false">'On-Prem TCO'!$L$21</f>
        <v>150500</v>
      </c>
      <c r="D27" s="17" t="n">
        <f aca="false">'On-Prem TCO'!$L$21</f>
        <v>150500</v>
      </c>
      <c r="E27" s="17" t="n">
        <f aca="false">'On-Prem TCO'!$L$21</f>
        <v>150500</v>
      </c>
      <c r="F27" s="23" t="n">
        <f aca="false">SUM(C27:E27)</f>
        <v>451500</v>
      </c>
    </row>
    <row r="28" customFormat="false" ht="15" hidden="false" customHeight="false" outlineLevel="0" collapsed="false">
      <c r="B28" s="16" t="s">
        <v>148</v>
      </c>
      <c r="C28" s="18" t="n">
        <f aca="false">'Inputs &amp; Assumptions'!$C$34*'Inputs &amp; Assumptions'!$C$35/'Inputs &amp; Assumptions'!$C$50</f>
        <v>20000</v>
      </c>
      <c r="D28" s="18" t="n">
        <f aca="false">'Inputs &amp; Assumptions'!$C$34*'Inputs &amp; Assumptions'!$C$35/'Inputs &amp; Assumptions'!$C$50</f>
        <v>20000</v>
      </c>
      <c r="E28" s="18" t="n">
        <f aca="false">'Inputs &amp; Assumptions'!$C$34*'Inputs &amp; Assumptions'!$C$35/'Inputs &amp; Assumptions'!$C$50</f>
        <v>20000</v>
      </c>
      <c r="F28" s="23" t="n">
        <f aca="false">SUM(C28:E28)</f>
        <v>60000</v>
      </c>
    </row>
    <row r="29" customFormat="false" ht="15" hidden="false" customHeight="false" outlineLevel="0" collapsed="false">
      <c r="B29" s="20" t="s">
        <v>149</v>
      </c>
      <c r="C29" s="21" t="n">
        <f aca="false">SUM(C25:C28)</f>
        <v>382554</v>
      </c>
      <c r="D29" s="21" t="n">
        <f aca="false">SUM(D25:D28)</f>
        <v>391554</v>
      </c>
      <c r="E29" s="21" t="n">
        <f aca="false">SUM(E25:E28)</f>
        <v>401004</v>
      </c>
      <c r="F29" s="21" t="n">
        <f aca="false">SUM(F25:F28)</f>
        <v>1175112</v>
      </c>
    </row>
  </sheetData>
  <mergeCells count="3">
    <mergeCell ref="B4:L4"/>
    <mergeCell ref="B17:L17"/>
    <mergeCell ref="B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26" t="s">
        <v>150</v>
      </c>
    </row>
    <row r="4" customFormat="false" ht="19.5" hidden="false" customHeight="true" outlineLevel="0" collapsed="false">
      <c r="B4" s="10" t="s">
        <v>151</v>
      </c>
      <c r="C4" s="10"/>
      <c r="D4" s="10"/>
      <c r="E4" s="10"/>
      <c r="F4" s="10"/>
    </row>
    <row r="5" customFormat="false" ht="15" hidden="false" customHeight="false" outlineLevel="0" collapsed="false">
      <c r="B5" s="11" t="s">
        <v>139</v>
      </c>
      <c r="F5" s="11" t="s">
        <v>133</v>
      </c>
    </row>
    <row r="6" customFormat="false" ht="15" hidden="false" customHeight="false" outlineLevel="0" collapsed="false">
      <c r="B6" s="16" t="s">
        <v>152</v>
      </c>
      <c r="F6" s="18" t="n">
        <f aca="false">'Inputs &amp; Assumptions'!$C$44*'Inputs &amp; Assumptions'!$C$45*'Inputs &amp; Assumptions'!$C$20+'Inputs &amp; Assumptions'!$C$44*'Inputs &amp; Assumptions'!$C$46*'Inputs &amp; Assumptions'!$C$21</f>
        <v>1248</v>
      </c>
    </row>
    <row r="7" customFormat="false" ht="15" hidden="false" customHeight="false" outlineLevel="0" collapsed="false">
      <c r="B7" s="16" t="s">
        <v>153</v>
      </c>
      <c r="F7" s="18" t="n">
        <f aca="false">'Inputs &amp; Assumptions'!$C$44*'Inputs &amp; Assumptions'!$C$47*'Inputs &amp; Assumptions'!$C$22</f>
        <v>120</v>
      </c>
    </row>
    <row r="8" customFormat="false" ht="15" hidden="false" customHeight="false" outlineLevel="0" collapsed="false">
      <c r="B8" s="16" t="s">
        <v>154</v>
      </c>
      <c r="F8" s="18" t="n">
        <f aca="false">'Inputs &amp; Assumptions'!$C$44*'Inputs &amp; Assumptions'!$C$23</f>
        <v>700</v>
      </c>
    </row>
    <row r="9" customFormat="false" ht="15" hidden="false" customHeight="false" outlineLevel="0" collapsed="false">
      <c r="B9" s="16" t="s">
        <v>155</v>
      </c>
      <c r="F9" s="18" t="n">
        <f aca="false">'Inputs &amp; Assumptions'!$C$44*('Inputs &amp; Assumptions'!$C$25+'Inputs &amp; Assumptions'!$C$26)</f>
        <v>1560</v>
      </c>
    </row>
    <row r="10" customFormat="false" ht="15" hidden="false" customHeight="false" outlineLevel="0" collapsed="false">
      <c r="B10" s="20" t="s">
        <v>156</v>
      </c>
      <c r="F10" s="21" t="n">
        <f aca="false">SUM(F6:F9)</f>
        <v>3628</v>
      </c>
    </row>
    <row r="12" customFormat="false" ht="19.5" hidden="false" customHeight="true" outlineLevel="0" collapsed="false">
      <c r="B12" s="10" t="s">
        <v>157</v>
      </c>
      <c r="C12" s="10"/>
      <c r="D12" s="10"/>
      <c r="E12" s="10"/>
      <c r="F12" s="10"/>
    </row>
    <row r="13" customFormat="false" ht="15" hidden="false" customHeight="false" outlineLevel="0" collapsed="false">
      <c r="B13" s="11" t="s">
        <v>145</v>
      </c>
      <c r="C13" s="11" t="s">
        <v>46</v>
      </c>
      <c r="D13" s="11" t="s">
        <v>47</v>
      </c>
      <c r="E13" s="11" t="s">
        <v>48</v>
      </c>
      <c r="F13" s="11" t="s">
        <v>146</v>
      </c>
    </row>
    <row r="14" customFormat="false" ht="15" hidden="false" customHeight="false" outlineLevel="0" collapsed="false">
      <c r="B14" s="16" t="s">
        <v>158</v>
      </c>
      <c r="C14" s="18" t="n">
        <f aca="false">'Inputs &amp; Assumptions'!$C$7</f>
        <v>150000</v>
      </c>
      <c r="D14" s="18" t="n">
        <f aca="false">C14*(1+'Inputs &amp; Assumptions'!$C$8)</f>
        <v>154500</v>
      </c>
      <c r="E14" s="18" t="n">
        <f aca="false">D14*(1+'Inputs &amp; Assumptions'!$C$8)</f>
        <v>159135</v>
      </c>
      <c r="F14" s="23" t="n">
        <f aca="false">SUM(C14:E14)</f>
        <v>463635</v>
      </c>
    </row>
    <row r="15" customFormat="false" ht="15" hidden="false" customHeight="false" outlineLevel="0" collapsed="false">
      <c r="B15" s="16" t="s">
        <v>159</v>
      </c>
      <c r="C15" s="17" t="n">
        <f aca="false">'SaaS TCO'!$F$10</f>
        <v>3628</v>
      </c>
      <c r="D15" s="17" t="n">
        <f aca="false">'SaaS TCO'!$F$10</f>
        <v>3628</v>
      </c>
      <c r="E15" s="17" t="n">
        <f aca="false">'SaaS TCO'!$F$10</f>
        <v>3628</v>
      </c>
      <c r="F15" s="23" t="n">
        <f aca="false">SUM(C15:E15)</f>
        <v>10884</v>
      </c>
    </row>
    <row r="16" customFormat="false" ht="15" hidden="false" customHeight="false" outlineLevel="0" collapsed="false">
      <c r="B16" s="16" t="s">
        <v>160</v>
      </c>
      <c r="C16" s="18" t="n">
        <f aca="false">'Inputs &amp; Assumptions'!$C$33*'Inputs &amp; Assumptions'!$C$31</f>
        <v>38000</v>
      </c>
      <c r="D16" s="18" t="n">
        <f aca="false">'Inputs &amp; Assumptions'!$C$33*'Inputs &amp; Assumptions'!$C$31</f>
        <v>38000</v>
      </c>
      <c r="E16" s="18" t="n">
        <f aca="false">'Inputs &amp; Assumptions'!$C$33*'Inputs &amp; Assumptions'!$C$31</f>
        <v>38000</v>
      </c>
      <c r="F16" s="23" t="n">
        <f aca="false">SUM(C16:E16)</f>
        <v>114000</v>
      </c>
    </row>
    <row r="17" customFormat="false" ht="15" hidden="false" customHeight="false" outlineLevel="0" collapsed="false">
      <c r="B17" s="16" t="s">
        <v>161</v>
      </c>
      <c r="C17" s="18" t="n">
        <f aca="false">'Inputs &amp; Assumptions'!$C$39+'Inputs &amp; Assumptions'!$C$40+'Inputs &amp; Assumptions'!$C$41</f>
        <v>71000</v>
      </c>
      <c r="D17" s="18" t="n">
        <v>0</v>
      </c>
      <c r="E17" s="18" t="n">
        <v>0</v>
      </c>
      <c r="F17" s="23" t="n">
        <f aca="false">SUM(C17:E17)</f>
        <v>71000</v>
      </c>
    </row>
    <row r="18" customFormat="false" ht="15" hidden="false" customHeight="false" outlineLevel="0" collapsed="false">
      <c r="B18" s="20" t="s">
        <v>162</v>
      </c>
      <c r="C18" s="21" t="n">
        <f aca="false">SUM(C14:C17)</f>
        <v>262628</v>
      </c>
      <c r="D18" s="21" t="n">
        <f aca="false">SUM(D14:D17)</f>
        <v>196128</v>
      </c>
      <c r="E18" s="21" t="n">
        <f aca="false">SUM(E14:E17)</f>
        <v>200763</v>
      </c>
      <c r="F18" s="21" t="n">
        <f aca="false">SUM(F14:F17)</f>
        <v>659519</v>
      </c>
    </row>
  </sheetData>
  <mergeCells count="2">
    <mergeCell ref="B4:F4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2026-08-04T10:17:06Z</dcterms:created>
  <dc:creator>openpyxl</dc:creator>
  <dc:description/>
  <dc:language>en-US</dc:language>
  <cp:lastModifiedBy/>
  <dcterms:modified xsi:type="dcterms:W3CDTF">2026-08-04T10:19:52Z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